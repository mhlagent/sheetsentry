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Opex" sheetId="2" r:id="rId2"/>
    <sheet name="Summary" sheetId="3" r:id="rId3"/>
    <sheet name="Tax" sheetId="4" r:id="rId4"/>
  </sheets>
  <calcPr calcId="124519" fullCalcOnLoad="1"/>
</workbook>
</file>

<file path=xl/sharedStrings.xml><?xml version="1.0" encoding="utf-8"?>
<sst xmlns="http://schemas.openxmlformats.org/spreadsheetml/2006/main" count="23" uniqueCount="22">
  <si>
    <t>Input</t>
  </si>
  <si>
    <t>Value</t>
  </si>
  <si>
    <t>Revenue</t>
  </si>
  <si>
    <t>Growth rate</t>
  </si>
  <si>
    <t>Years</t>
  </si>
  <si>
    <t>Base year</t>
  </si>
  <si>
    <t>Item</t>
  </si>
  <si>
    <t>Amount</t>
  </si>
  <si>
    <t>Inflated</t>
  </si>
  <si>
    <t>Rent</t>
  </si>
  <si>
    <t>Payroll</t>
  </si>
  <si>
    <t>Cloud</t>
  </si>
  <si>
    <t>Travel</t>
  </si>
  <si>
    <t>Other</t>
  </si>
  <si>
    <t>Metric</t>
  </si>
  <si>
    <t>Revenue projection</t>
  </si>
  <si>
    <t>Total opex</t>
  </si>
  <si>
    <t>Margin</t>
  </si>
  <si>
    <t>As of</t>
  </si>
  <si>
    <t>Tax model</t>
  </si>
  <si>
    <t>Taxable</t>
  </si>
  <si>
    <t>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</si>
</sst>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0.03</v>
      </c>
    </row>
    <row r="4" spans="1:2">
      <c r="A4" t="s">
        <v>4</v>
      </c>
      <c r="B4">
        <v>5</v>
      </c>
    </row>
    <row r="5" spans="1:2">
      <c r="A5" t="s">
        <v>5</v>
      </c>
      <c r="B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>
        <v>100</v>
      </c>
      <c r="C2">
        <f>B2*$C$2</f>
        <v>110.00000000000001</v>
      </c>
    </row>
    <row r="3" spans="1:3">
      <c r="A3" t="s">
        <v>10</v>
      </c>
      <c r="B3">
        <v>120</v>
      </c>
      <c r="C3">
        <f>B3*$C$2</f>
        <v>132.0</v>
      </c>
    </row>
    <row r="4" spans="1:3">
      <c r="A4" t="s">
        <v>11</v>
      </c>
      <c r="B4">
        <v>130</v>
      </c>
      <c r="C4">
        <f>B4*$C$2</f>
        <v>143.0</v>
      </c>
    </row>
    <row r="5" spans="1:3">
      <c r="A5" t="s">
        <v>12</v>
      </c>
      <c r="B5">
        <v>140</v>
      </c>
      <c r="C5">
        <f>B5*$C$2</f>
        <v>154.0</v>
      </c>
    </row>
    <row r="6" spans="1:3">
      <c r="A6" t="s">
        <v>13</v>
      </c>
      <c r="B6">
        <v>150</v>
      </c>
      <c r="C6">
        <f>B6*$C$2</f>
        <v>165.0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14</v>
      </c>
      <c r="B1" t="s">
        <v>1</v>
      </c>
    </row>
    <row r="2" spans="1:2">
      <c r="A2" t="s">
        <v>15</v>
      </c>
      <c r="B2">
        <f>Inputs!B2*(1+Inputs!B3)</f>
        <v>1030</v>
      </c>
    </row>
    <row r="3" spans="1:2">
      <c r="A3" t="s">
        <v>16</v>
      </c>
      <c r="B3">
        <f>SUM(Opex!C2:C6)</f>
        <v>660</v>
      </c>
    </row>
    <row r="4" spans="1:2">
      <c r="A4" t="s">
        <v>17</v>
      </c>
      <c r="B4">
        <f>B2-B3</f>
        <v>370</v>
      </c>
    </row>
    <row r="5" spans="1:2">
      <c r="A5" t="s">
        <v>18</v>
      </c>
      <c r="B5">
        <f>Inputs!B5</f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19</v>
      </c>
    </row>
    <row r="3" spans="1:4">
      <c r="A3" t="s">
        <v>20</v>
      </c>
      <c r="B3" t="s">
        <v>21</v>
      </c>
      <c r="C3">
        <f>Inputs!B2*0.1</f>
        <v>100</v>
      </c>
      <c r="D3">
        <f>C3+1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Opex</vt:lpstr>
      <vt:lpstr>Summary</vt:lpstr>
      <vt:lpstr>Tax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SheetSentry clean model</dc:title>
  <dc:creator/>
  <cp:lastModifiedBy/>
  <dcterms:created xsi:type="dcterms:W3CDTF">2026-10-19T14:21:35Z</dcterms:created>
  <dcterms:modified xsi:type="dcterms:W3CDTF">2026-10-19T14:21:35Z</dcterms:modified>
</cp:coreProperties>
</file>