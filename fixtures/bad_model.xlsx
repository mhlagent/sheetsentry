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  <sheet name="Scratch" sheetId="5" state="hidden" r:id="rId5"/>
  </sheets>
  <definedNames>
    <definedName name="RevenueInput">Inputs!$B$2</definedName>
  </definedNames>
  <calcPr calcId="124519" fullCalcOnLoad="1"/>
</workbook>
</file>

<file path=xl/sharedStrings.xml><?xml version="1.0" encoding="utf-8"?>
<sst xmlns="http://schemas.openxmlformats.org/spreadsheetml/2006/main" count="37" uniqueCount="32">
  <si>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</si>
  <si>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</si>
  <si>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</si>
  <si>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</si>
  <si>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</si>
  <si>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</si>
  <si>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</si>
  <si>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</si>
  <si>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</si>
  <si>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</si>
  <si>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</si>
  <si>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</si>
  <si>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</si>
  <si>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</si>
  <si>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</si>
  <si>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</si>
  <si>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</si>
  <si>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</si>
  <si>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</si>
  <si>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</si>
  <si>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Broken lookup</t>
  </si>
  <si>
    <t>External link</t>
  </si>
  <si>
    <t>Whole column</t>
  </si>
  <si>
    <t>Uncached formula</t>
  </si>
  <si>
    <t>Structured total</t>
  </si>
  <si>
    <t>Named input</t>
  </si>
  <si>
    <t>Indirect ref</t>
  </si>
  <si>
    <t>Offset ref</t>
  </si>
  <si>
    <t>External value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</si>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</sst>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OpexTable" displayName="OpexTable" ref="A1:D6" totalsRowShown="0">
  <autoFilter ref="A1:D6"/>
  <tableColumns count="4">
    <tableColumn id="1" name="Item"/>
    <tableColumn id="2" name="Amount"/>
    <tableColumn id="3" name="Inflated"/>
    <tableColumn id="4" name="Multipli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 hidden="1">
      <c r="A6" t="s">
        <v>14</v>
      </c>
      <c r="B6">
        <v>150</v>
      </c>
      <c r="C6">
        <f>B7*$D$2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Inputs!B2*1.05</f>
        <v>1050</v>
      </c>
    </row>
    <row r="3" spans="1:2">
      <c r="A3" t="s">
        <v>17</v>
      </c>
      <c r="B3">
        <f>SUM(Opex!C2:C6)</f>
        <v>539</v>
      </c>
    </row>
    <row r="4" spans="1:2">
      <c r="A4" t="s">
        <v>18</v>
      </c>
      <c r="B4" t="e">
        <f>#REF!</f>
        <v>#REF!</v>
      </c>
    </row>
    <row r="5" spans="1:2">
      <c r="A5" t="s">
        <v>19</v>
      </c>
      <c r="B5">
        <f>TODAY()</f>
        <v>46000</v>
      </c>
    </row>
    <row r="6" spans="1:2">
      <c r="A6" t="s">
        <v>20</v>
      </c>
      <c r="B6" t="e">
        <f>NA()</f>
        <v>#N/A</v>
      </c>
    </row>
    <row r="7" spans="1:2">
      <c r="A7" t="s">
        <v>21</v>
      </c>
      <c r="B7">
        <f>'[Book2.xlsx]Sheet1'!A1</f>
        <v>0</v>
      </c>
    </row>
    <row r="8" spans="1:2">
      <c r="A8" t="s">
        <v>22</v>
      </c>
      <c r="B8">
        <f>SUM(Opex!C:C)</f>
        <v>660</v>
      </c>
    </row>
    <row r="9" spans="1:2">
      <c r="A9" t="s">
        <v>23</v>
      </c>
      <c r="B9">
        <f>1+1</f>
      </c>
    </row>
    <row r="10" spans="1:2">
      <c r="A10" t="s">
        <v>24</v>
      </c>
      <c r="B10">
        <f>SUM(OpexTable[Amount])</f>
        <v>640</v>
      </c>
    </row>
    <row r="11" spans="1:2">
      <c r="A11" t="s">
        <v>25</v>
      </c>
      <c r="B11">
        <f>RevenueInput*2</f>
        <v>2000</v>
      </c>
    </row>
    <row r="12" spans="1:2">
      <c r="A12" t="s">
        <v>26</v>
      </c>
      <c r="B12">
        <f>INDIRECT("Inputs!B3")*1000</f>
        <v>30</v>
      </c>
    </row>
    <row r="13" spans="1:2">
      <c r="A13" t="s">
        <v>27</v>
      </c>
      <c r="B13">
        <f>OFFSET(Inputs!B2,1,0)</f>
        <v>0.03</v>
      </c>
    </row>
    <row r="14" spans="1:2">
      <c r="A14" t="s">
        <v>28</v>
      </c>
      <c r="B14">
        <f>[external_book.xlsx]Sheet1!A1</f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29</v>
      </c>
    </row>
    <row r="3" spans="1:4">
      <c r="A3" t="s">
        <v>30</v>
      </c>
      <c r="B3" t="s">
        <v>31</v>
      </c>
      <c r="C3">
        <f>D3*0.1</f>
        <v>0</v>
      </c>
      <c r="D3">
        <f>C3+1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>
        <f>Summary!B3+1</f>
        <v>661</v>
      </c>
    </row>
    <row r="2" spans="1:1">
      <c r="A2">
        <f>Inputs!B2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Inputs</vt:lpstr>
      <vt:lpstr>Opex</vt:lpstr>
      <vt:lpstr>Summary</vt:lpstr>
      <vt:lpstr>Tax</vt:lpstr>
      <vt:lpstr>Scratch</vt:lpstr>
      <vt:lpstr>RevenueInput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bad model</dc:title>
  <dc:creator/>
  <cp:lastModifiedBy/>
  <dcterms:created xsi:type="dcterms:W3CDTF">2026-10-28T14:14:42Z</dcterms:created>
  <dcterms:modified xsi:type="dcterms:W3CDTF">2026-10-28T14:14:42Z</dcterms:modified>
</cp:coreProperties>
</file>