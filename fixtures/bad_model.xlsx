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puts" sheetId="1" r:id="rId1"/>
    <sheet name="Opex" sheetId="2" r:id="rId2"/>
    <sheet name="Summary" sheetId="3" r:id="rId3"/>
    <sheet name="Tax" sheetId="4" r:id="rId4"/>
    <sheet name="Scratch" sheetId="5" state="hidden" r:id="rId5"/>
  </sheets>
  <calcPr calcId="124519" fullCalcOnLoad="1"/>
</workbook>
</file>

<file path=xl/sharedStrings.xml><?xml version="1.0" encoding="utf-8"?>
<sst xmlns="http://schemas.openxmlformats.org/spreadsheetml/2006/main" count="24" uniqueCount="23">
  <si>
    <t>Input</t>
  </si>
  <si>
    <t>Value</t>
  </si>
  <si>
    <t>Revenue</t>
  </si>
  <si>
    <t>Growth rate</t>
  </si>
  <si>
    <t>Years</t>
  </si>
  <si>
    <t>Base year</t>
  </si>
  <si>
    <t>Item</t>
  </si>
  <si>
    <t>Amount</t>
  </si>
  <si>
    <t>Inflated</t>
  </si>
  <si>
    <t>Rent</t>
  </si>
  <si>
    <t>Payroll</t>
  </si>
  <si>
    <t>Cloud</t>
  </si>
  <si>
    <t>Travel</t>
  </si>
  <si>
    <t>Other</t>
  </si>
  <si>
    <t>Metric</t>
  </si>
  <si>
    <t>Revenue projection</t>
  </si>
  <si>
    <t>Total opex</t>
  </si>
  <si>
    <t>Margin</t>
  </si>
  <si>
    <t>As of</t>
  </si>
  <si>
    <t>Broken lookup</t>
  </si>
  <si>
    <t>Tax model</t>
  </si>
  <si>
    <t>Taxable</t>
  </si>
  <si>
    <t>Tax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</si>
</sst>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5"/>
  <sheetViews>
    <sheetView tabSelected="1" workbookViewId="0"/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>
        <v>1000</v>
      </c>
    </row>
    <row r="3" spans="1:2">
      <c r="A3" t="s">
        <v>3</v>
      </c>
      <c r="B3">
        <v>0.03</v>
      </c>
    </row>
    <row r="4" spans="1:2">
      <c r="A4" t="s">
        <v>4</v>
      </c>
      <c r="B4">
        <v>5</v>
      </c>
    </row>
    <row r="5" spans="1:2">
      <c r="A5" t="s">
        <v>5</v>
      </c>
      <c r="B5">
        <v>2026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6"/>
  <sheetViews>
    <sheetView workbookViewId="0"/>
  </sheetViews>
  <sheetFormatPr defaultRowHeight="15"/>
  <sheetData>
    <row r="1" spans="1:3">
      <c r="A1" t="s">
        <v>6</v>
      </c>
      <c r="B1" t="s">
        <v>7</v>
      </c>
      <c r="C1" t="s">
        <v>8</v>
      </c>
    </row>
    <row r="2" spans="1:3">
      <c r="A2" t="s">
        <v>9</v>
      </c>
      <c r="B2">
        <v>100</v>
      </c>
      <c r="C2">
        <f>B2*$C$2</f>
        <v>110.00000000000001</v>
      </c>
    </row>
    <row r="3" spans="1:3">
      <c r="A3" t="s">
        <v>10</v>
      </c>
      <c r="B3">
        <v>120</v>
      </c>
      <c r="C3">
        <f>B3*$C$2</f>
        <v>132.0</v>
      </c>
    </row>
    <row r="4" spans="1:3">
      <c r="A4" t="s">
        <v>11</v>
      </c>
      <c r="B4">
        <v>130</v>
      </c>
      <c r="C4">
        <f>B4*$C$2</f>
        <v>143.0</v>
      </c>
    </row>
    <row r="5" spans="1:3">
      <c r="A5" t="s">
        <v>12</v>
      </c>
      <c r="B5">
        <v>140</v>
      </c>
      <c r="C5">
        <f>B5*$C$2</f>
        <v>154.0</v>
      </c>
    </row>
    <row r="6" spans="1:3" hidden="1">
      <c r="A6" t="s">
        <v>13</v>
      </c>
      <c r="B6">
        <v>150</v>
      </c>
      <c r="C6">
        <f>B7*$C$2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14</v>
      </c>
      <c r="B1" t="s">
        <v>1</v>
      </c>
    </row>
    <row r="2" spans="1:2">
      <c r="A2" t="s">
        <v>15</v>
      </c>
      <c r="B2">
        <f>Inputs!B2*1.05</f>
        <v>1050</v>
      </c>
    </row>
    <row r="3" spans="1:2">
      <c r="A3" t="s">
        <v>16</v>
      </c>
      <c r="B3">
        <f>SUM(Opex!C2:C6)</f>
        <v>660</v>
      </c>
    </row>
    <row r="4" spans="1:2">
      <c r="A4" t="s">
        <v>17</v>
      </c>
      <c r="B4" t="e">
        <f>#REF!</f>
        <v>#REF!</v>
      </c>
    </row>
    <row r="5" spans="1:2">
      <c r="A5" t="s">
        <v>18</v>
      </c>
      <c r="B5">
        <f>TODAY()</f>
        <v>46000</v>
      </c>
    </row>
    <row r="6" spans="1:2">
      <c r="A6" t="s">
        <v>19</v>
      </c>
      <c r="B6" t="e">
        <f>NA()</f>
        <v>#N/A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3"/>
  <sheetViews>
    <sheetView workbookViewId="0"/>
  </sheetViews>
  <sheetFormatPr defaultRowHeight="15"/>
  <sheetData>
    <row r="1" spans="1:4">
      <c r="A1" t="s">
        <v>20</v>
      </c>
    </row>
    <row r="3" spans="1:4">
      <c r="A3" t="s">
        <v>21</v>
      </c>
      <c r="B3" t="s">
        <v>22</v>
      </c>
      <c r="C3">
        <f>D3*0.1</f>
        <v>0</v>
      </c>
      <c r="D3">
        <f>C3+1</f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sheetData>
    <row r="1" spans="1:1">
      <c r="A1">
        <f>Summary!B3+1</f>
        <v>661</v>
      </c>
    </row>
    <row r="2" spans="1:1">
      <c r="A2">
        <f>Inputs!B2</f>
        <v>1000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</vt:lpstr>
      <vt:lpstr>Opex</vt:lpstr>
      <vt:lpstr>Summary</vt:lpstr>
      <vt:lpstr>Tax</vt:lpstr>
      <vt:lpstr>Scratch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SheetSentry bad model</dc:title>
  <dc:creator/>
  <cp:lastModifiedBy/>
  <dcterms:created xsi:type="dcterms:W3CDTF">2026-10-19T14:28:41Z</dcterms:created>
  <dcterms:modified xsi:type="dcterms:W3CDTF">2026-10-19T14:28:41Z</dcterms:modified>
</cp:coreProperties>
</file>